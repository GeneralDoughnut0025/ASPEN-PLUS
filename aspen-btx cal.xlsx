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aga\Desktop\IMPORTANT\EXCEL\"/>
    </mc:Choice>
  </mc:AlternateContent>
  <xr:revisionPtr revIDLastSave="0" documentId="13_ncr:1_{8B75CB07-A3D6-42E6-8CA7-472BEBC22AD1}" xr6:coauthVersionLast="47" xr6:coauthVersionMax="47" xr10:uidLastSave="{00000000-0000-0000-0000-000000000000}"/>
  <bookViews>
    <workbookView xWindow="-108" yWindow="-108" windowWidth="23256" windowHeight="12576" xr2:uid="{C85BAF41-CC4E-46B0-BFD0-25B7EEE094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L10" i="1"/>
  <c r="J10" i="1"/>
  <c r="K10" i="1"/>
  <c r="I10" i="1"/>
</calcChain>
</file>

<file path=xl/sharedStrings.xml><?xml version="1.0" encoding="utf-8"?>
<sst xmlns="http://schemas.openxmlformats.org/spreadsheetml/2006/main" count="15" uniqueCount="13">
  <si>
    <t xml:space="preserve">1.3 bar </t>
  </si>
  <si>
    <t>benzene</t>
  </si>
  <si>
    <t>toluene</t>
  </si>
  <si>
    <t>p-xylene</t>
  </si>
  <si>
    <t xml:space="preserve">k value of benze </t>
  </si>
  <si>
    <t xml:space="preserve">k value of toluene </t>
  </si>
  <si>
    <t>avg</t>
  </si>
  <si>
    <t>alpha or rel volatility</t>
  </si>
  <si>
    <t xml:space="preserve">xd </t>
  </si>
  <si>
    <t>xb</t>
  </si>
  <si>
    <t xml:space="preserve">min stages </t>
  </si>
  <si>
    <t>for toluene and p-xylene DISTL</t>
  </si>
  <si>
    <t>For benzene distl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</si>
</sst>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7</xdr:col>
      <xdr:colOff>15611</xdr:colOff>
      <xdr:row>10</xdr:row>
      <xdr:rowOff>76270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5A79FB-4EBA-3427-3E13-23FF3DF20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760"/>
          <a:ext cx="4282811" cy="8077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7</xdr:col>
      <xdr:colOff>370</xdr:colOff>
      <xdr:row>17</xdr:row>
      <xdr:rowOff>53408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98FA96-BE31-D66C-C590-424FB3AE4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7440"/>
          <a:ext cx="4267570" cy="7849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7</xdr:col>
      <xdr:colOff>61335</xdr:colOff>
      <xdr:row>24</xdr:row>
      <xdr:rowOff>68649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A4B8F7-2E55-6996-8E5E-579878395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657600"/>
          <a:ext cx="4328535" cy="800169"/>
        </a:xfrm>
        <a:prstGeom prst="rect">
          <a:avLst/>
        </a:prstGeom>
      </xdr:spPr>
    </xdr:pic>
    <xdr:clientData/>
  </xdr:twoCellAnchor>
  <xdr:twoCellAnchor editAs="oneCell">
    <xdr:from>
      <xdr:col>13</xdr:col>
      <xdr:colOff>601980</xdr:colOff>
      <xdr:row>1</xdr:row>
      <xdr:rowOff>45720</xdr:rowOff>
    </xdr:from>
    <xdr:to>
      <xdr:col>19</xdr:col>
      <xdr:colOff>579435</xdr:colOff>
      <xdr:row>19</xdr:row>
      <xdr:rowOff>281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AD5DDAE-0C87-CF8C-AA26-56C425585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41180" y="228600"/>
          <a:ext cx="3635055" cy="3246401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</xdr:colOff>
      <xdr:row>22</xdr:row>
      <xdr:rowOff>30480</xdr:rowOff>
    </xdr:from>
    <xdr:to>
      <xdr:col>18</xdr:col>
      <xdr:colOff>68902</xdr:colOff>
      <xdr:row>39</xdr:row>
      <xdr:rowOff>106956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BE4F0E-E4D5-6ABD-B78F-21C2AF767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37220" y="4053840"/>
          <a:ext cx="3718882" cy="3185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0018-B9C0-4CA2-A359-23A811642227}">
  <dimension ref="A1:O22"/>
  <sheetViews>
    <sheetView tabSelected="1" topLeftCell="A16" workbookViewId="0">
      <selection activeCell="N3" sqref="N3"/>
    </sheetView>
  </sheetViews>
  <sheetFormatPr defaultRowHeight="14.4" x14ac:dyDescent="0.3"/>
  <cols>
    <col min="8" max="8" width="14.77734375" customWidth="1"/>
    <col min="12" max="12" width="16.33203125" customWidth="1"/>
  </cols>
  <sheetData>
    <row r="1" spans="1:15" x14ac:dyDescent="0.3">
      <c r="O1" t="s">
        <v>12</v>
      </c>
    </row>
    <row r="5" spans="1:15" x14ac:dyDescent="0.3">
      <c r="A5" t="s">
        <v>0</v>
      </c>
      <c r="B5" t="s">
        <v>1</v>
      </c>
    </row>
    <row r="6" spans="1:15" x14ac:dyDescent="0.3">
      <c r="B6">
        <v>88.44</v>
      </c>
    </row>
    <row r="7" spans="1:15" x14ac:dyDescent="0.3">
      <c r="H7" t="s">
        <v>4</v>
      </c>
      <c r="I7">
        <v>1.0070699999999999</v>
      </c>
      <c r="J7">
        <v>2.1636899999999999</v>
      </c>
      <c r="K7">
        <v>3.7967900000000001</v>
      </c>
    </row>
    <row r="8" spans="1:15" x14ac:dyDescent="0.3">
      <c r="H8" t="s">
        <v>5</v>
      </c>
      <c r="I8">
        <v>0.40884300000000001</v>
      </c>
      <c r="J8">
        <v>0.99754799999999999</v>
      </c>
      <c r="K8">
        <v>1.93974</v>
      </c>
    </row>
    <row r="9" spans="1:15" x14ac:dyDescent="0.3">
      <c r="L9" t="s">
        <v>6</v>
      </c>
    </row>
    <row r="10" spans="1:15" x14ac:dyDescent="0.3">
      <c r="I10">
        <f>I7/I8</f>
        <v>2.4632193776094979</v>
      </c>
      <c r="J10">
        <f t="shared" ref="J10:K10" si="0">J7/J8</f>
        <v>2.1690084086179309</v>
      </c>
      <c r="K10">
        <f t="shared" si="0"/>
        <v>1.9573705754379453</v>
      </c>
      <c r="L10">
        <f>AVERAGE(I10:K10)</f>
        <v>2.1965327872217912</v>
      </c>
    </row>
    <row r="11" spans="1:15" x14ac:dyDescent="0.3">
      <c r="L11" t="s">
        <v>7</v>
      </c>
    </row>
    <row r="12" spans="1:15" x14ac:dyDescent="0.3">
      <c r="A12" t="s">
        <v>0</v>
      </c>
      <c r="B12" t="s">
        <v>2</v>
      </c>
      <c r="K12" t="s">
        <v>8</v>
      </c>
      <c r="L12">
        <v>0.95</v>
      </c>
    </row>
    <row r="13" spans="1:15" x14ac:dyDescent="0.3">
      <c r="B13">
        <v>119.64</v>
      </c>
      <c r="K13" t="s">
        <v>9</v>
      </c>
      <c r="L13">
        <v>7.4999999999999997E-2</v>
      </c>
    </row>
    <row r="15" spans="1:15" x14ac:dyDescent="0.3">
      <c r="K15" t="s">
        <v>10</v>
      </c>
      <c r="L15">
        <f>LOG(L12/(1-L12)*(1-L13)/L13)/(LOG(L10))</f>
        <v>6.9346581828884108</v>
      </c>
    </row>
    <row r="19" spans="1:13" x14ac:dyDescent="0.3">
      <c r="A19" t="s">
        <v>0</v>
      </c>
      <c r="B19" t="s">
        <v>3</v>
      </c>
    </row>
    <row r="20" spans="1:13" x14ac:dyDescent="0.3">
      <c r="B20">
        <v>147.9</v>
      </c>
    </row>
    <row r="22" spans="1:13" x14ac:dyDescent="0.3">
      <c r="M22" t="s">
        <v>11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Rebello</dc:creator>
  <cp:lastModifiedBy>Leonel Rebello</cp:lastModifiedBy>
  <dcterms:created xsi:type="dcterms:W3CDTF">2026-10-07T21:32:50Z</dcterms:created>
  <dcterms:modified xsi:type="dcterms:W3CDTF">2026-10-08T05:06:58Z</dcterms:modified>
</cp:coreProperties>
</file>